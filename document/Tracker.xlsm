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ster" sheetId="1" state="visible" r:id="rId2"/>
    <sheet name="User_Story" sheetId="2" state="visible" r:id="rId3"/>
    <sheet name="Developers" sheetId="3" state="visible" r:id="rId4"/>
    <sheet name="Priority" sheetId="4" state="visible" r:id="rId5"/>
    <sheet name="Status" sheetId="5" state="visible" r:id="rId6"/>
  </sheets>
  <definedNames>
    <definedName function="false" hidden="true" localSheetId="2" name="_xlnm._FilterDatabase" vbProcedure="false">Developers!$A$1:$F$1</definedName>
    <definedName function="false" hidden="true" localSheetId="0" name="_xlnm._FilterDatabase" vbProcedure="false">Master!$A$1:$M$49</definedName>
    <definedName function="false" hidden="true" localSheetId="3" name="_xlnm._FilterDatabase" vbProcedure="false">Priority!$A$1:$C$7</definedName>
    <definedName function="false" hidden="true" localSheetId="4" name="_xlnm._FilterDatabase" vbProcedure="false">Status!$A$1:$C$7</definedName>
    <definedName function="false" hidden="true" localSheetId="1" name="_xlnm._FilterDatabase" vbProcedure="false">User_Story!$A$1:$F$4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<sst xmlns="http://schemas.openxmlformats.org/spreadsheetml/2006/main" count="68" uniqueCount="51">
  <si>
    <t xml:space="preserve">Sprint</t>
  </si>
  <si>
    <t xml:space="preserve">User Story ID</t>
  </si>
  <si>
    <t xml:space="preserve">Planned Start Date</t>
  </si>
  <si>
    <t xml:space="preserve">Planned End Date</t>
  </si>
  <si>
    <t xml:space="preserve">Planned Total Days</t>
  </si>
  <si>
    <t xml:space="preserve">Actual Start Date</t>
  </si>
  <si>
    <t xml:space="preserve">Actual End Date</t>
  </si>
  <si>
    <t xml:space="preserve">Actual Total Days</t>
  </si>
  <si>
    <t xml:space="preserve">Description</t>
  </si>
  <si>
    <t xml:space="preserve">Assigned To</t>
  </si>
  <si>
    <t xml:space="preserve">Story Points</t>
  </si>
  <si>
    <t xml:space="preserve">Status</t>
  </si>
  <si>
    <t xml:space="preserve">Notes</t>
  </si>
  <si>
    <t xml:space="preserve">US | 1 | 0-IRON</t>
  </si>
  <si>
    <t xml:space="preserve">akash.sengupta</t>
  </si>
  <si>
    <t xml:space="preserve">1-DESIGN</t>
  </si>
  <si>
    <t xml:space="preserve">NA</t>
  </si>
  <si>
    <t xml:space="preserve">US | 2 | 0-IRON</t>
  </si>
  <si>
    <t xml:space="preserve">0-REQUIREMENT GATHERING</t>
  </si>
  <si>
    <t xml:space="preserve">US | 3 | 0-IRON</t>
  </si>
  <si>
    <t xml:space="preserve">Priority</t>
  </si>
  <si>
    <t xml:space="preserve">DoNotChange</t>
  </si>
  <si>
    <t xml:space="preserve">Acceptance Criteria</t>
  </si>
  <si>
    <t xml:space="preserve">0-IRON</t>
  </si>
  <si>
    <r>
      <rPr>
        <sz val="10"/>
        <rFont val="Arial"/>
        <family val="2"/>
        <charset val="1"/>
      </rPr>
      <t xml:space="preserve">Create Basic Views for Master table
</t>
    </r>
    <r>
      <rPr>
        <sz val="12"/>
        <color rgb="FFA9B7C6"/>
        <rFont val="JetBrains Mono"/>
        <family val="3"/>
        <charset val="1"/>
      </rPr>
      <t xml:space="preserve">Requirement</t>
    </r>
  </si>
  <si>
    <t xml:space="preserve">Create
Read
Update
Delete
Options</t>
  </si>
  <si>
    <r>
      <rPr>
        <sz val="10"/>
        <rFont val="Arial"/>
        <family val="2"/>
        <charset val="1"/>
      </rPr>
      <t xml:space="preserve">Create Basic Views for Master table
</t>
    </r>
    <r>
      <rPr>
        <sz val="12"/>
        <color rgb="FFA9B7C6"/>
        <rFont val="JetBrains Mono"/>
        <family val="3"/>
        <charset val="1"/>
      </rPr>
      <t xml:space="preserve">Requirement_Connection</t>
    </r>
  </si>
  <si>
    <r>
      <rPr>
        <sz val="10"/>
        <rFont val="Arial"/>
        <family val="2"/>
        <charset val="1"/>
      </rPr>
      <t xml:space="preserve">Create Basic Views for Master table
</t>
    </r>
    <r>
      <rPr>
        <sz val="12"/>
        <color rgb="FFA9B7C6"/>
        <rFont val="JetBrains Mono"/>
        <family val="3"/>
        <charset val="1"/>
      </rPr>
      <t xml:space="preserve">Requirement_Type</t>
    </r>
  </si>
  <si>
    <t xml:space="preserve">First Name</t>
  </si>
  <si>
    <t xml:space="preserve">Last Name</t>
  </si>
  <si>
    <t xml:space="preserve">Email</t>
  </si>
  <si>
    <t xml:space="preserve">Designation</t>
  </si>
  <si>
    <t xml:space="preserve">Role</t>
  </si>
  <si>
    <t xml:space="preserve">Akash</t>
  </si>
  <si>
    <t xml:space="preserve">Sengupta</t>
  </si>
  <si>
    <t xml:space="preserve">alphatrionakash@gmail.com</t>
  </si>
  <si>
    <t xml:space="preserve">Django Rest Framework
Flutter</t>
  </si>
  <si>
    <t xml:space="preserve">Level</t>
  </si>
  <si>
    <t xml:space="preserve">Iron</t>
  </si>
  <si>
    <t xml:space="preserve">Bronze</t>
  </si>
  <si>
    <t xml:space="preserve">Silver</t>
  </si>
  <si>
    <t xml:space="preserve">Gold</t>
  </si>
  <si>
    <t xml:space="preserve">Diamond</t>
  </si>
  <si>
    <t xml:space="preserve">Platinum</t>
  </si>
  <si>
    <t xml:space="preserve">Status Id</t>
  </si>
  <si>
    <t xml:space="preserve">Requirement Gathering</t>
  </si>
  <si>
    <t xml:space="preserve">Design</t>
  </si>
  <si>
    <t xml:space="preserve">Implentation</t>
  </si>
  <si>
    <t xml:space="preserve">Testing</t>
  </si>
  <si>
    <t xml:space="preserve">Completed</t>
  </si>
  <si>
    <t xml:space="preserve">Cancelled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</si>
</sst>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2"/>
      <color rgb="FFA9B7C6"/>
      <name val="JetBrains Mono"/>
      <family val="3"/>
      <charset val="1"/>
    </font>
    <font>
      <sz val="10"/>
      <color rgb="FF0000FF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6F9D4"/>
        <bgColor rgb="FFFFFFFF"/>
      </patternFill>
    </fill>
    <fill>
      <patternFill patternType="solid">
        <fgColor rgb="FFFFFFA6"/>
        <bgColor rgb="FFF6F9D4"/>
      </patternFill>
    </fill>
    <fill>
      <patternFill patternType="solid">
        <fgColor rgb="FFDEDCE6"/>
        <bgColor rgb="FFF6F9D4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00FFFFFF"/>
        </patternFill>
      </fill>
    </dxf>
    <dxf>
      <fill>
        <patternFill patternType="solid">
          <fgColor rgb="FFF6F9D4"/>
        </patternFill>
      </fill>
    </dxf>
    <dxf>
      <fill>
        <patternFill patternType="solid">
          <fgColor rgb="FFFFFFA6"/>
        </patternFill>
      </fill>
    </dxf>
    <dxf>
      <fill>
        <patternFill patternType="solid">
          <fgColor rgb="FFDEDCE6"/>
        </patternFill>
      </fill>
    </dxf>
    <dxf>
      <fill>
        <patternFill patternType="solid">
          <f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B7C6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A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alphatrionakash@gmail.com" TargetMode="External"/><Relationship Id="rId2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M49"/>
  <sheetViews>
    <sheetView showFormulas="false" showGridLines="true" showRowColHeaders="true" showZeros="true" rightToLeft="false" tabSelected="true" showOutlineSymbols="true" defaultGridColor="true" view="normal" topLeftCell="A1" colorId="64" zoomScale="160" zoomScaleNormal="160" zoomScalePageLayoutView="100" workbookViewId="0">
      <pane xSplit="2" ySplit="1" topLeftCell="F2" activePane="bottomRight" state="frozen"/>
      <selection pane="topLeft" activeCell="A1" activeCellId="0" sqref="A1"/>
      <selection pane="topRight" activeCell="F1" activeCellId="0" sqref="F1"/>
      <selection pane="bottomLeft" activeCell="A2" activeCellId="0" sqref="A2"/>
      <selection pane="bottomRight" activeCell="K2" activeCellId="0" sqref="K2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9.61"/>
    <col collapsed="false" customWidth="true" hidden="false" outlineLevel="0" max="2" min="2" style="0" width="15.95"/>
    <col collapsed="false" customWidth="true" hidden="false" outlineLevel="0" max="3" min="3" style="0" width="20.71"/>
    <col collapsed="false" customWidth="true" hidden="false" outlineLevel="0" max="4" min="4" style="0" width="20.03"/>
    <col collapsed="false" customWidth="true" hidden="false" outlineLevel="0" max="5" min="5" style="0" width="21.25"/>
    <col collapsed="false" customWidth="true" hidden="false" outlineLevel="0" max="6" min="6" style="0" width="19.16"/>
    <col collapsed="false" customWidth="true" hidden="false" outlineLevel="0" max="7" min="7" style="0" width="18.47"/>
    <col collapsed="false" customWidth="true" hidden="false" outlineLevel="0" max="8" min="8" style="0" width="19.68"/>
    <col collapsed="false" customWidth="true" hidden="false" outlineLevel="0" max="9" min="9" style="0" width="32.1"/>
    <col collapsed="false" customWidth="true" hidden="false" outlineLevel="0" max="10" min="10" style="0" width="15.27"/>
    <col collapsed="false" customWidth="true" hidden="false" outlineLevel="0" max="11" min="11" style="0" width="15.15"/>
    <col collapsed="false" customWidth="true" hidden="false" outlineLevel="0" max="12" min="12" style="0" width="27.58"/>
    <col collapsed="false" customWidth="true" hidden="false" outlineLevel="0" max="13" min="13" style="0" width="19.16"/>
  </cols>
  <sheetData>
    <row r="1" customFormat="false" ht="12.8" hidden="false" customHeight="false" outlineLevel="0" collapsed="false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customFormat="false" ht="23.85" hidden="false" customHeight="false" outlineLevel="0" collapsed="false">
      <c r="A2" s="5" t="n">
        <v>1</v>
      </c>
      <c r="B2" s="6" t="s">
        <v>13</v>
      </c>
      <c r="C2" s="7" t="n">
        <v>45340</v>
      </c>
      <c r="D2" s="7" t="n">
        <v>45342</v>
      </c>
      <c r="E2" s="8" t="n">
        <f aca="true">IF(D2="",TODAY()-C2,D2-C2)</f>
        <v>2</v>
      </c>
      <c r="F2" s="7" t="n">
        <v>45340</v>
      </c>
      <c r="G2" s="5"/>
      <c r="H2" s="8" t="n">
        <f aca="true">IF(G2="",TODAY()-F2,G2-F2)</f>
        <v>0</v>
      </c>
      <c r="I2" s="5" t="str">
        <f aca="false">_xlfn.IFNA(VLOOKUP(B2,User_Story!$C$2:$D$368,2,0),"")</f>
        <v>Create Basic Views for Master table
Requirement</v>
      </c>
      <c r="J2" s="6" t="s">
        <v>14</v>
      </c>
      <c r="K2" s="5" t="n">
        <f aca="false">_xlfn.IFNA(VLOOKUP(B2,User_Story!$C$2:$F$1082,4,0),"")</f>
        <v>5</v>
      </c>
      <c r="L2" s="6" t="s">
        <v>15</v>
      </c>
      <c r="M2" s="5" t="s">
        <v>16</v>
      </c>
    </row>
    <row r="3" customFormat="false" ht="23.85" hidden="false" customHeight="false" outlineLevel="0" collapsed="false">
      <c r="A3" s="5" t="n">
        <v>1</v>
      </c>
      <c r="B3" s="6" t="s">
        <v>17</v>
      </c>
      <c r="C3" s="7" t="n">
        <v>45340</v>
      </c>
      <c r="D3" s="7" t="n">
        <v>45342</v>
      </c>
      <c r="E3" s="8" t="n">
        <f aca="true">IF(D3="",TODAY()-C3,D3-C3)</f>
        <v>2</v>
      </c>
      <c r="F3" s="7" t="n">
        <v>45340</v>
      </c>
      <c r="G3" s="5"/>
      <c r="H3" s="8" t="n">
        <f aca="true">IF(G3="",TODAY()-F3,G3-F3)</f>
        <v>0</v>
      </c>
      <c r="I3" s="5" t="str">
        <f aca="false">_xlfn.IFNA(VLOOKUP(B3,User_Story!$C$2:$D$368,2,0),"")</f>
        <v>Create Basic Views for Master table
Requirement_Connection</v>
      </c>
      <c r="J3" s="6" t="s">
        <v>14</v>
      </c>
      <c r="K3" s="5" t="n">
        <f aca="false">_xlfn.IFNA(VLOOKUP(B3,User_Story!$C$2:$F$1082,4,0),"")</f>
        <v>5</v>
      </c>
      <c r="L3" s="6" t="s">
        <v>18</v>
      </c>
      <c r="M3" s="5" t="s">
        <v>16</v>
      </c>
    </row>
    <row r="4" customFormat="false" ht="23.85" hidden="false" customHeight="false" outlineLevel="0" collapsed="false">
      <c r="A4" s="5" t="n">
        <v>1</v>
      </c>
      <c r="B4" s="6" t="s">
        <v>19</v>
      </c>
      <c r="C4" s="7" t="n">
        <v>45340</v>
      </c>
      <c r="D4" s="7" t="n">
        <v>45342</v>
      </c>
      <c r="E4" s="8" t="n">
        <f aca="true">IF(D4="",TODAY()-C4,D4-C4)</f>
        <v>2</v>
      </c>
      <c r="F4" s="7" t="n">
        <v>45340</v>
      </c>
      <c r="G4" s="5"/>
      <c r="H4" s="8" t="n">
        <f aca="true">IF(G4="",TODAY()-F4,G4-F4)</f>
        <v>0</v>
      </c>
      <c r="I4" s="5" t="str">
        <f aca="false">_xlfn.IFNA(VLOOKUP(B4,User_Story!$C$2:$D$368,2,0),"")</f>
        <v>Create Basic Views for Master table
Requirement_Type</v>
      </c>
      <c r="J4" s="6" t="s">
        <v>14</v>
      </c>
      <c r="K4" s="5" t="n">
        <f aca="false">_xlfn.IFNA(VLOOKUP(B4,User_Story!$C$2:$F$1082,4,0),"")</f>
        <v>5</v>
      </c>
      <c r="L4" s="6" t="s">
        <v>18</v>
      </c>
      <c r="M4" s="5" t="s">
        <v>16</v>
      </c>
    </row>
    <row r="5" customFormat="false" ht="12.8" hidden="false" customHeight="false" outlineLevel="0" collapsed="false">
      <c r="A5" s="5"/>
      <c r="B5" s="6"/>
      <c r="C5" s="7"/>
      <c r="D5" s="7"/>
      <c r="E5" s="5"/>
      <c r="F5" s="5"/>
      <c r="G5" s="5"/>
      <c r="H5" s="5"/>
      <c r="I5" s="5" t="str">
        <f aca="false">_xlfn.IFNA(VLOOKUP(B5,User_Story!$C$2:$D$368,2,0),"")</f>
        <v/>
      </c>
      <c r="J5" s="6"/>
      <c r="K5" s="5" t="str">
        <f aca="false">_xlfn.IFNA(VLOOKUP(B5,User_Story!$C$2:$F$1082,4,0),"")</f>
        <v/>
      </c>
      <c r="L5" s="6"/>
      <c r="M5" s="5"/>
    </row>
    <row r="6" customFormat="false" ht="12.8" hidden="false" customHeight="false" outlineLevel="0" collapsed="false">
      <c r="A6" s="5"/>
      <c r="B6" s="6"/>
      <c r="C6" s="7"/>
      <c r="D6" s="7"/>
      <c r="E6" s="5"/>
      <c r="F6" s="5"/>
      <c r="G6" s="5"/>
      <c r="H6" s="5"/>
      <c r="I6" s="5" t="str">
        <f aca="false">_xlfn.IFNA(VLOOKUP(B6,User_Story!$C$2:$D$368,2,0),"")</f>
        <v/>
      </c>
      <c r="J6" s="6"/>
      <c r="K6" s="5" t="str">
        <f aca="false">_xlfn.IFNA(VLOOKUP(B6,User_Story!$C$2:$F$1082,4,0),"")</f>
        <v/>
      </c>
      <c r="L6" s="6"/>
      <c r="M6" s="5"/>
    </row>
    <row r="7" customFormat="false" ht="12.8" hidden="false" customHeight="false" outlineLevel="0" collapsed="false">
      <c r="A7" s="5"/>
      <c r="B7" s="6"/>
      <c r="C7" s="7"/>
      <c r="D7" s="7"/>
      <c r="E7" s="5"/>
      <c r="F7" s="5"/>
      <c r="G7" s="5"/>
      <c r="H7" s="5"/>
      <c r="I7" s="5" t="str">
        <f aca="false">_xlfn.IFNA(VLOOKUP(B7,User_Story!$C$2:$D$368,2,0),"")</f>
        <v/>
      </c>
      <c r="J7" s="6"/>
      <c r="K7" s="5" t="str">
        <f aca="false">_xlfn.IFNA(VLOOKUP(B7,User_Story!$C$2:$F$1082,4,0),"")</f>
        <v/>
      </c>
      <c r="L7" s="6"/>
      <c r="M7" s="5"/>
    </row>
    <row r="8" customFormat="false" ht="12.8" hidden="false" customHeight="false" outlineLevel="0" collapsed="false">
      <c r="A8" s="5"/>
      <c r="B8" s="6"/>
      <c r="C8" s="5"/>
      <c r="D8" s="5"/>
      <c r="E8" s="5"/>
      <c r="F8" s="5"/>
      <c r="G8" s="5"/>
      <c r="H8" s="5"/>
      <c r="I8" s="5" t="str">
        <f aca="false">_xlfn.IFNA(VLOOKUP(B8,User_Story!$C$2:$D$368,2,0),"")</f>
        <v/>
      </c>
      <c r="J8" s="6"/>
      <c r="K8" s="5" t="str">
        <f aca="false">_xlfn.IFNA(VLOOKUP(B8,User_Story!$C$2:$F$1082,4,0),"")</f>
        <v/>
      </c>
      <c r="L8" s="6"/>
      <c r="M8" s="5"/>
    </row>
    <row r="9" customFormat="false" ht="12.8" hidden="false" customHeight="false" outlineLevel="0" collapsed="false">
      <c r="A9" s="5"/>
      <c r="B9" s="6"/>
      <c r="C9" s="5"/>
      <c r="D9" s="5"/>
      <c r="E9" s="5"/>
      <c r="F9" s="5"/>
      <c r="G9" s="5"/>
      <c r="H9" s="5"/>
      <c r="I9" s="5" t="str">
        <f aca="false">_xlfn.IFNA(VLOOKUP(B9,User_Story!$C$2:$D$368,2,0),"")</f>
        <v/>
      </c>
      <c r="J9" s="6"/>
      <c r="K9" s="5" t="str">
        <f aca="false">_xlfn.IFNA(VLOOKUP(B9,User_Story!$C$2:$F$1082,4,0),"")</f>
        <v/>
      </c>
      <c r="L9" s="6"/>
      <c r="M9" s="5"/>
    </row>
    <row r="10" customFormat="false" ht="12.8" hidden="false" customHeight="false" outlineLevel="0" collapsed="false">
      <c r="A10" s="5"/>
      <c r="B10" s="6"/>
      <c r="C10" s="5"/>
      <c r="D10" s="5"/>
      <c r="E10" s="5"/>
      <c r="F10" s="5"/>
      <c r="G10" s="5"/>
      <c r="H10" s="5"/>
      <c r="I10" s="5" t="str">
        <f aca="false">_xlfn.IFNA(VLOOKUP(B10,User_Story!$C$2:$D$368,2,0),"")</f>
        <v/>
      </c>
      <c r="J10" s="6"/>
      <c r="K10" s="5" t="str">
        <f aca="false">_xlfn.IFNA(VLOOKUP(B10,User_Story!$C$2:$F$1082,4,0),"")</f>
        <v/>
      </c>
      <c r="L10" s="6"/>
      <c r="M10" s="5"/>
    </row>
    <row r="11" customFormat="false" ht="12.8" hidden="false" customHeight="false" outlineLevel="0" collapsed="false">
      <c r="A11" s="5"/>
      <c r="B11" s="6"/>
      <c r="C11" s="5"/>
      <c r="D11" s="5"/>
      <c r="E11" s="5"/>
      <c r="F11" s="5"/>
      <c r="G11" s="5"/>
      <c r="H11" s="5"/>
      <c r="I11" s="5" t="str">
        <f aca="false">_xlfn.IFNA(VLOOKUP(B11,User_Story!$C$2:$D$368,2,0),"")</f>
        <v/>
      </c>
      <c r="J11" s="6"/>
      <c r="K11" s="5" t="str">
        <f aca="false">_xlfn.IFNA(VLOOKUP(B11,User_Story!$C$2:$F$1082,4,0),"")</f>
        <v/>
      </c>
      <c r="L11" s="6"/>
      <c r="M11" s="5"/>
    </row>
    <row r="12" customFormat="false" ht="12.8" hidden="false" customHeight="false" outlineLevel="0" collapsed="false">
      <c r="A12" s="5"/>
      <c r="B12" s="6"/>
      <c r="C12" s="5"/>
      <c r="D12" s="5"/>
      <c r="E12" s="5"/>
      <c r="F12" s="5"/>
      <c r="G12" s="5"/>
      <c r="H12" s="5"/>
      <c r="I12" s="5" t="str">
        <f aca="false">_xlfn.IFNA(VLOOKUP(B12,User_Story!$C$2:$D$368,2,0),"")</f>
        <v/>
      </c>
      <c r="J12" s="6"/>
      <c r="K12" s="5" t="str">
        <f aca="false">_xlfn.IFNA(VLOOKUP(B12,User_Story!$C$2:$F$1082,4,0),"")</f>
        <v/>
      </c>
      <c r="L12" s="6"/>
      <c r="M12" s="5"/>
    </row>
    <row r="13" customFormat="false" ht="12.8" hidden="false" customHeight="false" outlineLevel="0" collapsed="false">
      <c r="A13" s="5"/>
      <c r="B13" s="6"/>
      <c r="C13" s="5"/>
      <c r="D13" s="5"/>
      <c r="E13" s="5"/>
      <c r="F13" s="5"/>
      <c r="G13" s="5"/>
      <c r="H13" s="5"/>
      <c r="I13" s="5" t="str">
        <f aca="false">_xlfn.IFNA(VLOOKUP(B13,User_Story!$C$2:$D$368,2,0),"")</f>
        <v/>
      </c>
      <c r="J13" s="6"/>
      <c r="K13" s="5" t="str">
        <f aca="false">_xlfn.IFNA(VLOOKUP(B13,User_Story!$C$2:$F$1082,4,0),"")</f>
        <v/>
      </c>
      <c r="L13" s="6"/>
      <c r="M13" s="5"/>
    </row>
    <row r="14" customFormat="false" ht="12.8" hidden="false" customHeight="false" outlineLevel="0" collapsed="false">
      <c r="A14" s="5"/>
      <c r="B14" s="6"/>
      <c r="C14" s="5"/>
      <c r="D14" s="5"/>
      <c r="E14" s="5"/>
      <c r="F14" s="5"/>
      <c r="G14" s="5"/>
      <c r="H14" s="5"/>
      <c r="I14" s="5" t="str">
        <f aca="false">_xlfn.IFNA(VLOOKUP(B14,User_Story!$C$2:$D$368,2,0),"")</f>
        <v/>
      </c>
      <c r="J14" s="6"/>
      <c r="K14" s="5" t="str">
        <f aca="false">_xlfn.IFNA(VLOOKUP(B14,User_Story!$C$2:$F$1082,4,0),"")</f>
        <v/>
      </c>
      <c r="L14" s="6"/>
      <c r="M14" s="5"/>
    </row>
    <row r="15" customFormat="false" ht="12.8" hidden="false" customHeight="false" outlineLevel="0" collapsed="false">
      <c r="A15" s="5"/>
      <c r="B15" s="6"/>
      <c r="C15" s="5"/>
      <c r="D15" s="5"/>
      <c r="E15" s="5"/>
      <c r="F15" s="5"/>
      <c r="G15" s="5"/>
      <c r="H15" s="5"/>
      <c r="I15" s="5" t="str">
        <f aca="false">_xlfn.IFNA(VLOOKUP(B15,User_Story!$C$2:$D$368,2,0),"")</f>
        <v/>
      </c>
      <c r="J15" s="6"/>
      <c r="K15" s="5" t="str">
        <f aca="false">_xlfn.IFNA(VLOOKUP(B15,User_Story!$C$2:$F$1082,4,0),"")</f>
        <v/>
      </c>
      <c r="L15" s="6"/>
      <c r="M15" s="5"/>
    </row>
    <row r="16" customFormat="false" ht="12.8" hidden="false" customHeight="false" outlineLevel="0" collapsed="false">
      <c r="A16" s="5"/>
      <c r="B16" s="6"/>
      <c r="C16" s="5"/>
      <c r="D16" s="5"/>
      <c r="E16" s="5"/>
      <c r="F16" s="5"/>
      <c r="G16" s="5"/>
      <c r="H16" s="5"/>
      <c r="I16" s="5" t="str">
        <f aca="false">_xlfn.IFNA(VLOOKUP(B16,User_Story!$C$2:$D$368,2,0),"")</f>
        <v/>
      </c>
      <c r="J16" s="6"/>
      <c r="K16" s="5" t="str">
        <f aca="false">_xlfn.IFNA(VLOOKUP(B16,User_Story!$C$2:$F$1082,4,0),"")</f>
        <v/>
      </c>
      <c r="L16" s="6"/>
      <c r="M16" s="5"/>
    </row>
    <row r="17" customFormat="false" ht="12.8" hidden="false" customHeight="false" outlineLevel="0" collapsed="false">
      <c r="A17" s="5"/>
      <c r="B17" s="6"/>
      <c r="C17" s="5"/>
      <c r="D17" s="5"/>
      <c r="E17" s="5"/>
      <c r="F17" s="5"/>
      <c r="G17" s="5"/>
      <c r="H17" s="5"/>
      <c r="I17" s="5" t="str">
        <f aca="false">_xlfn.IFNA(VLOOKUP(B17,User_Story!$C$2:$D$368,2,0),"")</f>
        <v/>
      </c>
      <c r="J17" s="6"/>
      <c r="K17" s="5" t="str">
        <f aca="false">_xlfn.IFNA(VLOOKUP(B17,User_Story!$C$2:$F$1082,4,0),"")</f>
        <v/>
      </c>
      <c r="L17" s="6"/>
      <c r="M17" s="5"/>
    </row>
    <row r="18" customFormat="false" ht="12.8" hidden="false" customHeight="false" outlineLevel="0" collapsed="false">
      <c r="A18" s="5"/>
      <c r="B18" s="6"/>
      <c r="C18" s="5"/>
      <c r="D18" s="5"/>
      <c r="E18" s="5"/>
      <c r="F18" s="5"/>
      <c r="G18" s="5"/>
      <c r="H18" s="5"/>
      <c r="I18" s="5" t="str">
        <f aca="false">_xlfn.IFNA(VLOOKUP(B18,User_Story!$C$2:$D$368,2,0),"")</f>
        <v/>
      </c>
      <c r="J18" s="6"/>
      <c r="K18" s="5" t="str">
        <f aca="false">_xlfn.IFNA(VLOOKUP(B18,User_Story!$C$2:$F$1082,4,0),"")</f>
        <v/>
      </c>
      <c r="L18" s="6"/>
      <c r="M18" s="5"/>
    </row>
    <row r="19" customFormat="false" ht="12.8" hidden="false" customHeight="false" outlineLevel="0" collapsed="false">
      <c r="A19" s="5"/>
      <c r="B19" s="6"/>
      <c r="C19" s="5"/>
      <c r="D19" s="5"/>
      <c r="E19" s="5"/>
      <c r="F19" s="5"/>
      <c r="G19" s="5"/>
      <c r="H19" s="5"/>
      <c r="I19" s="5" t="str">
        <f aca="false">_xlfn.IFNA(VLOOKUP(B19,User_Story!$C$2:$D$368,2,0),"")</f>
        <v/>
      </c>
      <c r="J19" s="6"/>
      <c r="K19" s="5" t="str">
        <f aca="false">_xlfn.IFNA(VLOOKUP(B19,User_Story!$C$2:$F$1082,4,0),"")</f>
        <v/>
      </c>
      <c r="L19" s="6"/>
      <c r="M19" s="5"/>
    </row>
    <row r="20" customFormat="false" ht="12.8" hidden="false" customHeight="false" outlineLevel="0" collapsed="false">
      <c r="I20" s="0" t="str">
        <f aca="false">_xlfn.IFNA(VLOOKUP(B20,User_Story!$C$2:$D$368,2,0),"")</f>
        <v/>
      </c>
      <c r="K20" s="5"/>
    </row>
    <row r="21" customFormat="false" ht="12.8" hidden="false" customHeight="false" outlineLevel="0" collapsed="false">
      <c r="I21" s="0" t="str">
        <f aca="false">_xlfn.IFNA(VLOOKUP(B21,User_Story!$C$2:$D$368,2,0),"")</f>
        <v/>
      </c>
      <c r="K21" s="5"/>
    </row>
    <row r="22" customFormat="false" ht="12.8" hidden="false" customHeight="false" outlineLevel="0" collapsed="false">
      <c r="I22" s="0" t="str">
        <f aca="false">_xlfn.IFNA(VLOOKUP(B22,User_Story!$C$2:$D$368,2,0),"")</f>
        <v/>
      </c>
      <c r="K22" s="5"/>
    </row>
    <row r="23" customFormat="false" ht="12.8" hidden="false" customHeight="false" outlineLevel="0" collapsed="false">
      <c r="I23" s="0" t="str">
        <f aca="false">_xlfn.IFNA(VLOOKUP(B23,User_Story!$C$2:$D$368,2,0),"")</f>
        <v/>
      </c>
      <c r="K23" s="5"/>
    </row>
    <row r="24" customFormat="false" ht="12.8" hidden="false" customHeight="false" outlineLevel="0" collapsed="false">
      <c r="I24" s="0" t="str">
        <f aca="false">_xlfn.IFNA(VLOOKUP(B24,User_Story!$C$2:$D$368,2,0),"")</f>
        <v/>
      </c>
      <c r="K24" s="5"/>
    </row>
    <row r="25" customFormat="false" ht="12.8" hidden="false" customHeight="false" outlineLevel="0" collapsed="false">
      <c r="I25" s="0" t="str">
        <f aca="false">_xlfn.IFNA(VLOOKUP(B25,User_Story!$C$2:$D$368,2,0),"")</f>
        <v/>
      </c>
      <c r="K25" s="5"/>
    </row>
    <row r="26" customFormat="false" ht="12.8" hidden="false" customHeight="false" outlineLevel="0" collapsed="false">
      <c r="I26" s="0" t="str">
        <f aca="false">_xlfn.IFNA(VLOOKUP(B26,User_Story!$C$2:$D$368,2,0),"")</f>
        <v/>
      </c>
      <c r="K26" s="5"/>
    </row>
    <row r="27" customFormat="false" ht="12.8" hidden="false" customHeight="false" outlineLevel="0" collapsed="false">
      <c r="I27" s="0" t="str">
        <f aca="false">_xlfn.IFNA(VLOOKUP(B27,User_Story!$C$2:$D$368,2,0),"")</f>
        <v/>
      </c>
      <c r="K27" s="5"/>
    </row>
    <row r="28" customFormat="false" ht="12.8" hidden="false" customHeight="false" outlineLevel="0" collapsed="false">
      <c r="I28" s="0" t="str">
        <f aca="false">_xlfn.IFNA(VLOOKUP(B28,User_Story!$C$2:$D$368,2,0),"")</f>
        <v/>
      </c>
      <c r="K28" s="5"/>
    </row>
    <row r="29" customFormat="false" ht="12.8" hidden="false" customHeight="false" outlineLevel="0" collapsed="false">
      <c r="I29" s="0" t="str">
        <f aca="false">_xlfn.IFNA(VLOOKUP(B29,User_Story!$C$2:$D$368,2,0),"")</f>
        <v/>
      </c>
      <c r="K29" s="5"/>
    </row>
    <row r="30" customFormat="false" ht="12.8" hidden="false" customHeight="false" outlineLevel="0" collapsed="false">
      <c r="I30" s="0" t="str">
        <f aca="false">_xlfn.IFNA(VLOOKUP(B30,User_Story!$C$2:$D$368,2,0),"")</f>
        <v/>
      </c>
      <c r="K30" s="5"/>
    </row>
    <row r="31" customFormat="false" ht="12.8" hidden="false" customHeight="false" outlineLevel="0" collapsed="false">
      <c r="I31" s="0" t="str">
        <f aca="false">_xlfn.IFNA(VLOOKUP(B31,User_Story!$C$2:$D$368,2,0),"")</f>
        <v/>
      </c>
      <c r="K31" s="5"/>
    </row>
    <row r="32" customFormat="false" ht="12.8" hidden="false" customHeight="false" outlineLevel="0" collapsed="false">
      <c r="I32" s="0" t="str">
        <f aca="false">_xlfn.IFNA(VLOOKUP(B32,User_Story!$C$2:$D$368,2,0),"")</f>
        <v/>
      </c>
      <c r="K32" s="5"/>
    </row>
    <row r="33" customFormat="false" ht="12.8" hidden="false" customHeight="false" outlineLevel="0" collapsed="false">
      <c r="I33" s="0" t="str">
        <f aca="false">_xlfn.IFNA(VLOOKUP(B33,User_Story!$C$2:$D$368,2,0),"")</f>
        <v/>
      </c>
      <c r="K33" s="5"/>
    </row>
    <row r="34" customFormat="false" ht="12.8" hidden="false" customHeight="false" outlineLevel="0" collapsed="false">
      <c r="I34" s="0" t="str">
        <f aca="false">_xlfn.IFNA(VLOOKUP(B34,User_Story!$C$2:$D$368,2,0),"")</f>
        <v/>
      </c>
    </row>
    <row r="35" customFormat="false" ht="12.8" hidden="false" customHeight="false" outlineLevel="0" collapsed="false">
      <c r="I35" s="0" t="str">
        <f aca="false">_xlfn.IFNA(VLOOKUP(B35,User_Story!$C$2:$D$368,2,0),"")</f>
        <v/>
      </c>
    </row>
    <row r="36" customFormat="false" ht="12.8" hidden="false" customHeight="false" outlineLevel="0" collapsed="false">
      <c r="I36" s="0" t="str">
        <f aca="false">_xlfn.IFNA(VLOOKUP(B36,User_Story!$C$2:$D$368,2,0),"")</f>
        <v/>
      </c>
    </row>
    <row r="37" customFormat="false" ht="12.8" hidden="false" customHeight="false" outlineLevel="0" collapsed="false">
      <c r="I37" s="0" t="str">
        <f aca="false">_xlfn.IFNA(VLOOKUP(B37,User_Story!$C$2:$D$368,2,0),"")</f>
        <v/>
      </c>
    </row>
    <row r="38" customFormat="false" ht="12.8" hidden="false" customHeight="false" outlineLevel="0" collapsed="false">
      <c r="I38" s="0" t="str">
        <f aca="false">_xlfn.IFNA(VLOOKUP(B38,User_Story!$C$2:$D$368,2,0),"")</f>
        <v/>
      </c>
    </row>
    <row r="39" customFormat="false" ht="12.8" hidden="false" customHeight="false" outlineLevel="0" collapsed="false">
      <c r="I39" s="0" t="str">
        <f aca="false">_xlfn.IFNA(VLOOKUP(B39,User_Story!$C$2:$D$368,2,0),"")</f>
        <v/>
      </c>
    </row>
    <row r="40" customFormat="false" ht="12.8" hidden="false" customHeight="false" outlineLevel="0" collapsed="false">
      <c r="I40" s="0" t="str">
        <f aca="false">_xlfn.IFNA(VLOOKUP(B40,User_Story!$C$2:$D$368,2,0),"")</f>
        <v/>
      </c>
    </row>
    <row r="41" customFormat="false" ht="12.8" hidden="false" customHeight="false" outlineLevel="0" collapsed="false">
      <c r="I41" s="0" t="str">
        <f aca="false">_xlfn.IFNA(VLOOKUP(B41,User_Story!$C$2:$D$368,2,0),"")</f>
        <v/>
      </c>
    </row>
    <row r="42" customFormat="false" ht="12.8" hidden="false" customHeight="false" outlineLevel="0" collapsed="false">
      <c r="I42" s="0" t="str">
        <f aca="false">_xlfn.IFNA(VLOOKUP(B42,User_Story!$C$2:$D$368,2,0),"")</f>
        <v/>
      </c>
    </row>
    <row r="43" customFormat="false" ht="12.8" hidden="false" customHeight="false" outlineLevel="0" collapsed="false">
      <c r="I43" s="0" t="str">
        <f aca="false">_xlfn.IFNA(VLOOKUP(B43,User_Story!$C$2:$D$368,2,0),"")</f>
        <v/>
      </c>
    </row>
    <row r="44" customFormat="false" ht="12.8" hidden="false" customHeight="false" outlineLevel="0" collapsed="false">
      <c r="I44" s="0" t="str">
        <f aca="false">_xlfn.IFNA(VLOOKUP(B44,User_Story!$C$2:$D$368,2,0),"")</f>
        <v/>
      </c>
    </row>
    <row r="45" customFormat="false" ht="12.8" hidden="false" customHeight="false" outlineLevel="0" collapsed="false">
      <c r="I45" s="0" t="str">
        <f aca="false">_xlfn.IFNA(VLOOKUP(B45,User_Story!$C$2:$D$368,2,0),"")</f>
        <v/>
      </c>
    </row>
    <row r="46" customFormat="false" ht="12.8" hidden="false" customHeight="false" outlineLevel="0" collapsed="false">
      <c r="I46" s="0" t="str">
        <f aca="false">_xlfn.IFNA(VLOOKUP(B46,User_Story!$C$2:$D$368,2,0),"")</f>
        <v/>
      </c>
    </row>
    <row r="47" customFormat="false" ht="12.8" hidden="false" customHeight="false" outlineLevel="0" collapsed="false">
      <c r="I47" s="0" t="str">
        <f aca="false">_xlfn.IFNA(VLOOKUP(B47,User_Story!$C$2:$D$368,2,0),"")</f>
        <v/>
      </c>
    </row>
    <row r="48" customFormat="false" ht="12.8" hidden="false" customHeight="false" outlineLevel="0" collapsed="false">
      <c r="I48" s="0" t="str">
        <f aca="false">_xlfn.IFNA(VLOOKUP(B48,User_Story!$C$2:$D$368,2,0),"")</f>
        <v/>
      </c>
    </row>
    <row r="49" customFormat="false" ht="12.8" hidden="false" customHeight="false" outlineLevel="0" collapsed="false">
      <c r="I49" s="0" t="str">
        <f aca="false">_xlfn.IFNA(VLOOKUP(B49,User_Story!$C$2:$D$368,2,0),"")</f>
        <v/>
      </c>
    </row>
  </sheetData>
  <autoFilter ref="A1:M49"/>
  <dataValidations count="3">
    <dataValidation allowBlank="true" errorStyle="stop" operator="equal" showDropDown="false" showErrorMessage="true" showInputMessage="false" sqref="J2:J241" type="list">
      <formula1>Developers!$D$2:$D$59</formula1>
      <formula2>0</formula2>
    </dataValidation>
    <dataValidation allowBlank="true" errorStyle="stop" operator="equal" showDropDown="false" showErrorMessage="true" showInputMessage="false" sqref="B2:B112" type="list">
      <formula1>User_Story!$C$2:$C$130</formula1>
      <formula2>0</formula2>
    </dataValidation>
    <dataValidation allowBlank="true" errorStyle="stop" operator="equal" showDropDown="false" showErrorMessage="true" showInputMessage="false" sqref="L2:L19" type="list">
      <formula1>Status!$C$2:$C$18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39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pane xSplit="3" ySplit="1" topLeftCell="D1058" activePane="bottomRight" state="frozen"/>
      <selection pane="topLeft" activeCell="A1" activeCellId="0" sqref="A1"/>
      <selection pane="topRight" activeCell="D1" activeCellId="0" sqref="D1"/>
      <selection pane="bottomLeft" activeCell="A1058" activeCellId="0" sqref="A1058"/>
      <selection pane="bottomRight" activeCell="C2" activeCellId="0" sqref="C2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5.95"/>
    <col collapsed="false" customWidth="true" hidden="false" outlineLevel="0" max="2" min="2" style="0" width="10.73"/>
    <col collapsed="false" customWidth="true" hidden="false" outlineLevel="0" max="3" min="3" style="0" width="16.56"/>
    <col collapsed="false" customWidth="true" hidden="false" outlineLevel="0" max="4" min="4" style="0" width="31.15"/>
    <col collapsed="false" customWidth="true" hidden="false" outlineLevel="0" max="5" min="5" style="0" width="21.68"/>
    <col collapsed="false" customWidth="true" hidden="false" outlineLevel="0" max="6" min="6" style="0" width="15.15"/>
  </cols>
  <sheetData>
    <row r="1" customFormat="false" ht="12.8" hidden="false" customHeight="false" outlineLevel="0" collapsed="false">
      <c r="A1" s="1" t="s">
        <v>1</v>
      </c>
      <c r="B1" s="1" t="s">
        <v>20</v>
      </c>
      <c r="C1" s="9" t="s">
        <v>21</v>
      </c>
      <c r="D1" s="1" t="s">
        <v>8</v>
      </c>
      <c r="E1" s="1" t="s">
        <v>22</v>
      </c>
      <c r="F1" s="1" t="s">
        <v>10</v>
      </c>
    </row>
    <row r="2" customFormat="false" ht="57.45" hidden="false" customHeight="false" outlineLevel="0" collapsed="false">
      <c r="A2" s="5" t="n">
        <v>1</v>
      </c>
      <c r="B2" s="6" t="s">
        <v>23</v>
      </c>
      <c r="C2" s="5" t="str">
        <f aca="false">_xlfn.CONCAT("US"," | ",A2," | ",B2)</f>
        <v>US | 1 | 0-IRON</v>
      </c>
      <c r="D2" s="10" t="s">
        <v>24</v>
      </c>
      <c r="E2" s="10" t="s">
        <v>25</v>
      </c>
      <c r="F2" s="5" t="n">
        <v>5</v>
      </c>
    </row>
    <row r="3" customFormat="false" ht="57.45" hidden="false" customHeight="false" outlineLevel="0" collapsed="false">
      <c r="A3" s="5" t="n">
        <f aca="false">A2+1</f>
        <v>2</v>
      </c>
      <c r="B3" s="6" t="s">
        <v>23</v>
      </c>
      <c r="C3" s="5" t="str">
        <f aca="false">_xlfn.CONCAT("US"," | ",A3," | ",B3)</f>
        <v>US | 2 | 0-IRON</v>
      </c>
      <c r="D3" s="10" t="s">
        <v>26</v>
      </c>
      <c r="E3" s="10" t="s">
        <v>25</v>
      </c>
      <c r="F3" s="5" t="n">
        <v>5</v>
      </c>
    </row>
    <row r="4" customFormat="false" ht="57.45" hidden="false" customHeight="false" outlineLevel="0" collapsed="false">
      <c r="A4" s="5" t="n">
        <f aca="false">A3+1</f>
        <v>3</v>
      </c>
      <c r="B4" s="6" t="s">
        <v>23</v>
      </c>
      <c r="C4" s="5" t="str">
        <f aca="false">_xlfn.CONCAT("US"," | ",A4," | ",B4)</f>
        <v>US | 3 | 0-IRON</v>
      </c>
      <c r="D4" s="10" t="s">
        <v>27</v>
      </c>
      <c r="E4" s="10" t="s">
        <v>25</v>
      </c>
      <c r="F4" s="5" t="n">
        <v>5</v>
      </c>
    </row>
    <row r="5" customFormat="false" ht="12.8" hidden="false" customHeight="false" outlineLevel="0" collapsed="false">
      <c r="A5" s="5"/>
      <c r="B5" s="6"/>
      <c r="C5" s="5"/>
      <c r="D5" s="5"/>
      <c r="E5" s="5"/>
      <c r="F5" s="5"/>
    </row>
    <row r="6" customFormat="false" ht="12.8" hidden="false" customHeight="false" outlineLevel="0" collapsed="false">
      <c r="A6" s="5"/>
      <c r="B6" s="6"/>
      <c r="C6" s="5"/>
      <c r="D6" s="5"/>
      <c r="E6" s="5"/>
      <c r="F6" s="5"/>
    </row>
    <row r="7" customFormat="false" ht="12.8" hidden="false" customHeight="false" outlineLevel="0" collapsed="false">
      <c r="A7" s="5"/>
      <c r="B7" s="6"/>
      <c r="C7" s="5"/>
      <c r="D7" s="5"/>
      <c r="E7" s="5"/>
      <c r="F7" s="5"/>
    </row>
    <row r="8" customFormat="false" ht="12.8" hidden="false" customHeight="false" outlineLevel="0" collapsed="false">
      <c r="A8" s="5"/>
      <c r="B8" s="6"/>
      <c r="C8" s="5"/>
      <c r="D8" s="5"/>
      <c r="E8" s="5"/>
      <c r="F8" s="5"/>
    </row>
    <row r="9" customFormat="false" ht="12.8" hidden="false" customHeight="false" outlineLevel="0" collapsed="false">
      <c r="A9" s="5"/>
      <c r="B9" s="6"/>
      <c r="C9" s="5"/>
      <c r="D9" s="5"/>
      <c r="E9" s="5"/>
      <c r="F9" s="5"/>
    </row>
    <row r="10" customFormat="false" ht="12.8" hidden="false" customHeight="false" outlineLevel="0" collapsed="false">
      <c r="A10" s="5"/>
      <c r="B10" s="6"/>
      <c r="C10" s="5"/>
      <c r="D10" s="5"/>
      <c r="E10" s="5"/>
      <c r="F10" s="5"/>
    </row>
    <row r="11" customFormat="false" ht="12.8" hidden="false" customHeight="false" outlineLevel="0" collapsed="false">
      <c r="A11" s="5"/>
      <c r="B11" s="6"/>
      <c r="C11" s="5"/>
      <c r="D11" s="5"/>
      <c r="E11" s="5"/>
      <c r="F11" s="5"/>
    </row>
    <row r="12" customFormat="false" ht="12.8" hidden="false" customHeight="false" outlineLevel="0" collapsed="false">
      <c r="A12" s="5"/>
      <c r="B12" s="6"/>
      <c r="C12" s="5"/>
      <c r="D12" s="5"/>
      <c r="E12" s="5"/>
      <c r="F12" s="5"/>
    </row>
    <row r="13" customFormat="false" ht="12.8" hidden="false" customHeight="false" outlineLevel="0" collapsed="false">
      <c r="A13" s="5"/>
      <c r="B13" s="6"/>
      <c r="C13" s="5"/>
      <c r="D13" s="5"/>
      <c r="E13" s="5"/>
      <c r="F13" s="5"/>
    </row>
    <row r="14" customFormat="false" ht="12.8" hidden="false" customHeight="false" outlineLevel="0" collapsed="false">
      <c r="A14" s="5"/>
      <c r="B14" s="6"/>
      <c r="C14" s="5"/>
      <c r="D14" s="5"/>
      <c r="E14" s="5"/>
      <c r="F14" s="5"/>
    </row>
    <row r="15" customFormat="false" ht="12.8" hidden="false" customHeight="false" outlineLevel="0" collapsed="false">
      <c r="A15" s="5"/>
      <c r="B15" s="6"/>
      <c r="C15" s="5"/>
      <c r="D15" s="5"/>
      <c r="E15" s="5"/>
      <c r="F15" s="5"/>
    </row>
    <row r="16" customFormat="false" ht="12.8" hidden="false" customHeight="false" outlineLevel="0" collapsed="false">
      <c r="A16" s="5"/>
      <c r="B16" s="6"/>
      <c r="C16" s="5"/>
      <c r="D16" s="5"/>
      <c r="E16" s="5"/>
      <c r="F16" s="5"/>
    </row>
    <row r="17" customFormat="false" ht="12.8" hidden="false" customHeight="false" outlineLevel="0" collapsed="false">
      <c r="A17" s="5"/>
      <c r="B17" s="6"/>
      <c r="C17" s="5"/>
      <c r="D17" s="5"/>
      <c r="E17" s="5"/>
      <c r="F17" s="5"/>
    </row>
    <row r="18" customFormat="false" ht="12.8" hidden="false" customHeight="false" outlineLevel="0" collapsed="false">
      <c r="A18" s="5"/>
      <c r="B18" s="6"/>
      <c r="C18" s="5"/>
      <c r="D18" s="5"/>
      <c r="E18" s="5"/>
      <c r="F18" s="5"/>
    </row>
    <row r="19" customFormat="false" ht="12.8" hidden="false" customHeight="false" outlineLevel="0" collapsed="false">
      <c r="A19" s="5"/>
      <c r="B19" s="6"/>
      <c r="C19" s="5"/>
      <c r="D19" s="5"/>
      <c r="E19" s="5"/>
      <c r="F19" s="5"/>
    </row>
    <row r="20" customFormat="false" ht="12.8" hidden="false" customHeight="false" outlineLevel="0" collapsed="false">
      <c r="A20" s="5"/>
      <c r="B20" s="6"/>
      <c r="C20" s="5"/>
      <c r="D20" s="5"/>
      <c r="E20" s="5"/>
      <c r="F20" s="5"/>
    </row>
    <row r="21" customFormat="false" ht="12.8" hidden="false" customHeight="false" outlineLevel="0" collapsed="false">
      <c r="A21" s="5"/>
      <c r="B21" s="6"/>
      <c r="C21" s="5"/>
      <c r="D21" s="5"/>
      <c r="E21" s="5"/>
      <c r="F21" s="5"/>
    </row>
    <row r="22" customFormat="false" ht="12.8" hidden="false" customHeight="false" outlineLevel="0" collapsed="false">
      <c r="A22" s="5"/>
      <c r="B22" s="6"/>
      <c r="C22" s="5"/>
      <c r="D22" s="5"/>
      <c r="E22" s="5"/>
      <c r="F22" s="5"/>
    </row>
    <row r="23" customFormat="false" ht="12.8" hidden="false" customHeight="false" outlineLevel="0" collapsed="false">
      <c r="A23" s="5"/>
      <c r="B23" s="6"/>
      <c r="C23" s="5"/>
      <c r="D23" s="5"/>
      <c r="E23" s="5"/>
      <c r="F23" s="5"/>
    </row>
    <row r="24" customFormat="false" ht="12.8" hidden="false" customHeight="false" outlineLevel="0" collapsed="false">
      <c r="A24" s="5"/>
      <c r="B24" s="6"/>
      <c r="C24" s="5"/>
      <c r="D24" s="5"/>
      <c r="E24" s="5"/>
      <c r="F24" s="5"/>
    </row>
    <row r="25" customFormat="false" ht="12.8" hidden="false" customHeight="false" outlineLevel="0" collapsed="false">
      <c r="A25" s="5"/>
      <c r="B25" s="6"/>
      <c r="C25" s="5"/>
      <c r="D25" s="5"/>
      <c r="E25" s="5"/>
      <c r="F25" s="5"/>
    </row>
    <row r="26" customFormat="false" ht="12.8" hidden="false" customHeight="false" outlineLevel="0" collapsed="false">
      <c r="A26" s="5"/>
      <c r="B26" s="6"/>
      <c r="C26" s="5"/>
      <c r="D26" s="5"/>
      <c r="E26" s="5"/>
      <c r="F26" s="5"/>
    </row>
    <row r="27" customFormat="false" ht="12.8" hidden="false" customHeight="false" outlineLevel="0" collapsed="false">
      <c r="A27" s="5"/>
      <c r="B27" s="6"/>
      <c r="C27" s="5"/>
      <c r="D27" s="5"/>
      <c r="E27" s="5"/>
      <c r="F27" s="5"/>
    </row>
    <row r="28" customFormat="false" ht="12.8" hidden="false" customHeight="false" outlineLevel="0" collapsed="false">
      <c r="A28" s="5"/>
      <c r="B28" s="6"/>
      <c r="C28" s="5"/>
      <c r="D28" s="5"/>
      <c r="E28" s="5"/>
      <c r="F28" s="5"/>
    </row>
    <row r="29" customFormat="false" ht="12.8" hidden="false" customHeight="false" outlineLevel="0" collapsed="false">
      <c r="A29" s="5"/>
      <c r="B29" s="6"/>
      <c r="C29" s="5"/>
      <c r="D29" s="5"/>
      <c r="E29" s="5"/>
      <c r="F29" s="5"/>
    </row>
    <row r="30" customFormat="false" ht="12.8" hidden="false" customHeight="false" outlineLevel="0" collapsed="false">
      <c r="A30" s="5"/>
      <c r="B30" s="6"/>
      <c r="C30" s="5"/>
      <c r="D30" s="5"/>
      <c r="E30" s="5"/>
      <c r="F30" s="5"/>
    </row>
    <row r="31" customFormat="false" ht="12.8" hidden="false" customHeight="false" outlineLevel="0" collapsed="false">
      <c r="A31" s="5"/>
      <c r="B31" s="6"/>
      <c r="C31" s="5"/>
      <c r="D31" s="5"/>
      <c r="E31" s="5"/>
      <c r="F31" s="5"/>
    </row>
    <row r="32" customFormat="false" ht="12.8" hidden="false" customHeight="false" outlineLevel="0" collapsed="false">
      <c r="A32" s="5"/>
      <c r="B32" s="6"/>
      <c r="C32" s="5"/>
      <c r="D32" s="5"/>
      <c r="E32" s="5"/>
      <c r="F32" s="5"/>
    </row>
    <row r="33" customFormat="false" ht="12.8" hidden="false" customHeight="false" outlineLevel="0" collapsed="false">
      <c r="A33" s="5"/>
      <c r="B33" s="6"/>
      <c r="C33" s="5"/>
      <c r="D33" s="5"/>
      <c r="E33" s="5"/>
      <c r="F33" s="5"/>
    </row>
    <row r="34" customFormat="false" ht="12.8" hidden="false" customHeight="false" outlineLevel="0" collapsed="false">
      <c r="A34" s="5"/>
      <c r="B34" s="6"/>
      <c r="C34" s="5"/>
      <c r="D34" s="5"/>
      <c r="E34" s="5"/>
      <c r="F34" s="5"/>
    </row>
    <row r="35" customFormat="false" ht="12.8" hidden="false" customHeight="false" outlineLevel="0" collapsed="false">
      <c r="A35" s="5"/>
      <c r="B35" s="6"/>
      <c r="C35" s="5"/>
      <c r="D35" s="5"/>
      <c r="E35" s="5"/>
      <c r="F35" s="5"/>
    </row>
    <row r="36" customFormat="false" ht="12.8" hidden="false" customHeight="false" outlineLevel="0" collapsed="false">
      <c r="A36" s="5"/>
      <c r="B36" s="6"/>
      <c r="C36" s="5"/>
      <c r="D36" s="5"/>
      <c r="E36" s="5"/>
      <c r="F36" s="5"/>
    </row>
    <row r="37" customFormat="false" ht="12.8" hidden="false" customHeight="false" outlineLevel="0" collapsed="false">
      <c r="A37" s="5"/>
      <c r="B37" s="6"/>
      <c r="C37" s="5"/>
      <c r="D37" s="5"/>
      <c r="E37" s="5"/>
      <c r="F37" s="5"/>
    </row>
    <row r="38" customFormat="false" ht="12.8" hidden="false" customHeight="false" outlineLevel="0" collapsed="false">
      <c r="A38" s="5"/>
      <c r="B38" s="6"/>
      <c r="C38" s="5"/>
      <c r="D38" s="5"/>
      <c r="E38" s="5"/>
      <c r="F38" s="5"/>
    </row>
    <row r="39" customFormat="false" ht="12.8" hidden="false" customHeight="false" outlineLevel="0" collapsed="false">
      <c r="A39" s="5"/>
      <c r="B39" s="6"/>
      <c r="C39" s="5"/>
      <c r="D39" s="5"/>
      <c r="E39" s="5"/>
      <c r="F39" s="5"/>
    </row>
  </sheetData>
  <autoFilter ref="A1:F4"/>
  <dataValidations count="1">
    <dataValidation allowBlank="true" errorStyle="stop" operator="equal" showDropDown="false" showErrorMessage="true" showInputMessage="false" sqref="B2:B46" type="list">
      <formula1>Priority!$C$2:$C$46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pane xSplit="4" ySplit="1" topLeftCell="E2" activePane="bottomRight" state="frozen"/>
      <selection pane="topLeft" activeCell="A1" activeCellId="0" sqref="A1"/>
      <selection pane="topRight" activeCell="E1" activeCellId="0" sqref="E1"/>
      <selection pane="bottomLeft" activeCell="A2" activeCellId="0" sqref="A2"/>
      <selection pane="bottomRight" activeCell="C4" activeCellId="0" sqref="C4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3.87"/>
    <col collapsed="false" customWidth="true" hidden="false" outlineLevel="0" max="2" min="2" style="0" width="13.69"/>
    <col collapsed="false" customWidth="true" hidden="false" outlineLevel="0" max="3" min="3" style="0" width="25.06"/>
    <col collapsed="false" customWidth="true" hidden="false" outlineLevel="0" max="4" min="4" style="0" width="16.56"/>
    <col collapsed="false" customWidth="true" hidden="false" outlineLevel="0" max="5" min="5" style="0" width="14.89"/>
    <col collapsed="false" customWidth="true" hidden="false" outlineLevel="0" max="6" min="6" style="0" width="25.33"/>
  </cols>
  <sheetData>
    <row r="1" customFormat="false" ht="12.8" hidden="false" customHeight="false" outlineLevel="0" collapsed="false">
      <c r="A1" s="11" t="s">
        <v>28</v>
      </c>
      <c r="B1" s="11" t="s">
        <v>29</v>
      </c>
      <c r="C1" s="11" t="s">
        <v>30</v>
      </c>
      <c r="D1" s="12" t="s">
        <v>21</v>
      </c>
      <c r="E1" s="11" t="s">
        <v>31</v>
      </c>
      <c r="F1" s="11" t="s">
        <v>32</v>
      </c>
    </row>
    <row r="2" customFormat="false" ht="24.25" hidden="false" customHeight="false" outlineLevel="0" collapsed="false">
      <c r="A2" s="0" t="s">
        <v>33</v>
      </c>
      <c r="B2" s="0" t="s">
        <v>34</v>
      </c>
      <c r="C2" s="13" t="s">
        <v>35</v>
      </c>
      <c r="D2" s="0" t="str">
        <f aca="false">_xlfn.CONCAT(LOWER(A2),".",LOWER(B2))</f>
        <v>akash.sengupta</v>
      </c>
      <c r="F2" s="14" t="s">
        <v>36</v>
      </c>
    </row>
  </sheetData>
  <autoFilter ref="A1:F1"/>
  <hyperlinks>
    <hyperlink ref="C2" r:id="rId1" display="alphatrionakash@g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28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C2" activeCellId="0" sqref="C2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9.09"/>
    <col collapsed="false" customWidth="true" hidden="false" outlineLevel="0" max="2" min="2" style="0" width="14.47"/>
    <col collapsed="false" customWidth="true" hidden="false" outlineLevel="0" max="3" min="3" style="0" width="16.56"/>
  </cols>
  <sheetData>
    <row r="1" customFormat="false" ht="12.8" hidden="false" customHeight="false" outlineLevel="0" collapsed="false">
      <c r="A1" s="11" t="s">
        <v>37</v>
      </c>
      <c r="B1" s="11" t="s">
        <v>8</v>
      </c>
      <c r="C1" s="12" t="s">
        <v>21</v>
      </c>
    </row>
    <row r="2" customFormat="false" ht="12.8" hidden="false" customHeight="false" outlineLevel="0" collapsed="false">
      <c r="A2" s="0" t="n">
        <v>0</v>
      </c>
      <c r="B2" s="0" t="s">
        <v>38</v>
      </c>
      <c r="C2" s="15" t="str">
        <f aca="false">_xlfn.CONCAT(A2,"-",UPPER(B2))</f>
        <v>0-IRON</v>
      </c>
    </row>
    <row r="3" customFormat="false" ht="12.8" hidden="false" customHeight="false" outlineLevel="0" collapsed="false">
      <c r="A3" s="0" t="n">
        <v>1</v>
      </c>
      <c r="B3" s="0" t="s">
        <v>39</v>
      </c>
      <c r="C3" s="15" t="str">
        <f aca="false">_xlfn.CONCAT(A3,"-",UPPER(B3))</f>
        <v>1-BRONZE</v>
      </c>
    </row>
    <row r="4" customFormat="false" ht="12.8" hidden="false" customHeight="false" outlineLevel="0" collapsed="false">
      <c r="A4" s="0" t="n">
        <v>2</v>
      </c>
      <c r="B4" s="0" t="s">
        <v>40</v>
      </c>
      <c r="C4" s="15" t="str">
        <f aca="false">_xlfn.CONCAT(A4,"-",UPPER(B4))</f>
        <v>2-SILVER</v>
      </c>
    </row>
    <row r="5" customFormat="false" ht="12.8" hidden="false" customHeight="false" outlineLevel="0" collapsed="false">
      <c r="A5" s="0" t="n">
        <v>3</v>
      </c>
      <c r="B5" s="0" t="s">
        <v>41</v>
      </c>
      <c r="C5" s="15" t="str">
        <f aca="false">_xlfn.CONCAT(A5,"-",UPPER(B5))</f>
        <v>3-GOLD</v>
      </c>
    </row>
    <row r="6" customFormat="false" ht="12.8" hidden="false" customHeight="false" outlineLevel="0" collapsed="false">
      <c r="A6" s="0" t="n">
        <v>4</v>
      </c>
      <c r="B6" s="0" t="s">
        <v>42</v>
      </c>
      <c r="C6" s="15" t="str">
        <f aca="false">_xlfn.CONCAT(A6,"-",UPPER(B6))</f>
        <v>4-DIAMOND</v>
      </c>
    </row>
    <row r="7" customFormat="false" ht="12.8" hidden="false" customHeight="false" outlineLevel="0" collapsed="false">
      <c r="A7" s="0" t="n">
        <v>5</v>
      </c>
      <c r="B7" s="0" t="s">
        <v>43</v>
      </c>
      <c r="C7" s="15" t="str">
        <f aca="false">_xlfn.CONCAT(A7,"-",UPPER(B7))</f>
        <v>5-PLATINUM</v>
      </c>
    </row>
    <row r="8" customFormat="false" ht="12.8" hidden="false" customHeight="false" outlineLevel="0" collapsed="false">
      <c r="C8" s="15"/>
    </row>
    <row r="9" customFormat="false" ht="12.8" hidden="false" customHeight="false" outlineLevel="0" collapsed="false">
      <c r="C9" s="15"/>
    </row>
    <row r="10" customFormat="false" ht="12.8" hidden="false" customHeight="false" outlineLevel="0" collapsed="false">
      <c r="C10" s="15"/>
    </row>
    <row r="11" customFormat="false" ht="12.8" hidden="false" customHeight="false" outlineLevel="0" collapsed="false">
      <c r="C11" s="15"/>
    </row>
    <row r="12" customFormat="false" ht="12.8" hidden="false" customHeight="false" outlineLevel="0" collapsed="false">
      <c r="C12" s="15"/>
    </row>
    <row r="13" customFormat="false" ht="12.8" hidden="false" customHeight="false" outlineLevel="0" collapsed="false">
      <c r="C13" s="15"/>
    </row>
    <row r="14" customFormat="false" ht="12.8" hidden="false" customHeight="false" outlineLevel="0" collapsed="false">
      <c r="C14" s="15"/>
    </row>
    <row r="15" customFormat="false" ht="12.8" hidden="false" customHeight="false" outlineLevel="0" collapsed="false">
      <c r="C15" s="15"/>
    </row>
    <row r="16" customFormat="false" ht="12.8" hidden="false" customHeight="false" outlineLevel="0" collapsed="false">
      <c r="C16" s="15"/>
    </row>
    <row r="17" customFormat="false" ht="12.8" hidden="false" customHeight="false" outlineLevel="0" collapsed="false">
      <c r="C17" s="15"/>
    </row>
    <row r="18" customFormat="false" ht="12.8" hidden="false" customHeight="false" outlineLevel="0" collapsed="false">
      <c r="C18" s="15"/>
    </row>
    <row r="19" customFormat="false" ht="12.8" hidden="false" customHeight="false" outlineLevel="0" collapsed="false">
      <c r="C19" s="15"/>
    </row>
    <row r="20" customFormat="false" ht="12.8" hidden="false" customHeight="false" outlineLevel="0" collapsed="false">
      <c r="C20" s="15"/>
    </row>
    <row r="21" customFormat="false" ht="12.8" hidden="false" customHeight="false" outlineLevel="0" collapsed="false">
      <c r="C21" s="15"/>
    </row>
    <row r="22" customFormat="false" ht="12.8" hidden="false" customHeight="false" outlineLevel="0" collapsed="false">
      <c r="C22" s="15"/>
    </row>
    <row r="23" customFormat="false" ht="12.8" hidden="false" customHeight="false" outlineLevel="0" collapsed="false">
      <c r="C23" s="15"/>
    </row>
    <row r="24" customFormat="false" ht="12.8" hidden="false" customHeight="false" outlineLevel="0" collapsed="false">
      <c r="C24" s="15"/>
    </row>
    <row r="25" customFormat="false" ht="12.8" hidden="false" customHeight="false" outlineLevel="0" collapsed="false">
      <c r="C25" s="15"/>
    </row>
    <row r="26" customFormat="false" ht="12.8" hidden="false" customHeight="false" outlineLevel="0" collapsed="false">
      <c r="C26" s="15"/>
    </row>
    <row r="27" customFormat="false" ht="12.8" hidden="false" customHeight="false" outlineLevel="0" collapsed="false">
      <c r="C27" s="15"/>
    </row>
    <row r="28" customFormat="false" ht="12.8" hidden="false" customHeight="false" outlineLevel="0" collapsed="false">
      <c r="C28" s="15"/>
    </row>
  </sheetData>
  <autoFilter ref="A1:C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7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2.13"/>
    <col collapsed="false" customWidth="true" hidden="false" outlineLevel="0" max="2" min="2" style="0" width="20.83"/>
    <col collapsed="false" customWidth="true" hidden="false" outlineLevel="0" max="3" min="3" style="0" width="27.58"/>
  </cols>
  <sheetData>
    <row r="1" customFormat="false" ht="12.8" hidden="false" customHeight="false" outlineLevel="0" collapsed="false">
      <c r="A1" s="1" t="s">
        <v>44</v>
      </c>
      <c r="B1" s="1" t="s">
        <v>8</v>
      </c>
      <c r="C1" s="9" t="s">
        <v>21</v>
      </c>
    </row>
    <row r="2" customFormat="false" ht="12.8" hidden="false" customHeight="false" outlineLevel="0" collapsed="false">
      <c r="A2" s="5" t="n">
        <v>0</v>
      </c>
      <c r="B2" s="5" t="s">
        <v>45</v>
      </c>
      <c r="C2" s="5" t="str">
        <f aca="false">_xlfn.CONCAT(A2,"-",UPPER(B2))</f>
        <v>0-REQUIREMENT GATHERING</v>
      </c>
    </row>
    <row r="3" customFormat="false" ht="12.8" hidden="false" customHeight="false" outlineLevel="0" collapsed="false">
      <c r="A3" s="5" t="n">
        <v>1</v>
      </c>
      <c r="B3" s="5" t="s">
        <v>46</v>
      </c>
      <c r="C3" s="5" t="str">
        <f aca="false">_xlfn.CONCAT(A3,"-",UPPER(B3))</f>
        <v>1-DESIGN</v>
      </c>
    </row>
    <row r="4" customFormat="false" ht="12.8" hidden="false" customHeight="false" outlineLevel="0" collapsed="false">
      <c r="A4" s="5" t="n">
        <v>2</v>
      </c>
      <c r="B4" s="5" t="s">
        <v>47</v>
      </c>
      <c r="C4" s="5" t="str">
        <f aca="false">_xlfn.CONCAT(A4,"-",UPPER(B4))</f>
        <v>2-IMPLENTATION</v>
      </c>
    </row>
    <row r="5" customFormat="false" ht="12.8" hidden="false" customHeight="false" outlineLevel="0" collapsed="false">
      <c r="A5" s="5" t="n">
        <v>3</v>
      </c>
      <c r="B5" s="5" t="s">
        <v>48</v>
      </c>
      <c r="C5" s="5" t="str">
        <f aca="false">_xlfn.CONCAT(A5,"-",UPPER(B5))</f>
        <v>3-TESTING</v>
      </c>
    </row>
    <row r="6" customFormat="false" ht="12.8" hidden="false" customHeight="false" outlineLevel="0" collapsed="false">
      <c r="A6" s="5" t="n">
        <v>4</v>
      </c>
      <c r="B6" s="5" t="s">
        <v>49</v>
      </c>
      <c r="C6" s="5" t="str">
        <f aca="false">_xlfn.CONCAT(A6,"-",UPPER(B6))</f>
        <v>4-COMPLETED</v>
      </c>
    </row>
    <row r="7" customFormat="false" ht="12.8" hidden="false" customHeight="false" outlineLevel="0" collapsed="false">
      <c r="A7" s="5" t="n">
        <v>5</v>
      </c>
      <c r="B7" s="0" t="s">
        <v>50</v>
      </c>
      <c r="C7" s="5" t="str">
        <f aca="false">_xlfn.CONCAT(A7,"-",UPPER(B7))</f>
        <v>5-CANCELLED</v>
      </c>
    </row>
  </sheetData>
  <autoFilter ref="A1:C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2024-02-18T19:45:19Z</dcterms:created>
  <dc:creator/>
  <dc:description/>
  <dc:language>en-IN</dc:language>
  <cp:lastModifiedBy/>
  <dcterms:modified xsi:type="dcterms:W3CDTF">2024-02-18T21:04:26Z</dcterms:modified>
  <cp:revision>28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